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9531\Desktop\斯里兰卡市场调查\"/>
    </mc:Choice>
  </mc:AlternateContent>
  <xr:revisionPtr revIDLastSave="0" documentId="13_ncr:1_{9BFCF43E-A037-48A8-91DE-23C20775BD86}" xr6:coauthVersionLast="47" xr6:coauthVersionMax="47" xr10:uidLastSave="{00000000-0000-0000-0000-000000000000}"/>
  <bookViews>
    <workbookView xWindow="220" yWindow="1020" windowWidth="25380" windowHeight="12660" xr2:uid="{6C545F6D-7E4A-4283-AD5A-C461047649CF}"/>
  </bookViews>
  <sheets>
    <sheet name="Sheet1" sheetId="1" r:id="rId1"/>
    <sheet name="Sheet2" sheetId="2" r:id="rId2"/>
  </sheets>
  <externalReferences>
    <externalReference r:id="rId3"/>
  </externalReferences>
  <definedNames>
    <definedName name="_xlnm.Print_Area" localSheetId="0">Sheet1!$A:$G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K30" i="2"/>
  <c r="J30" i="2"/>
  <c r="I30" i="2"/>
  <c r="H30" i="2"/>
  <c r="G30" i="2"/>
  <c r="F30" i="2"/>
  <c r="F16" i="1"/>
  <c r="D16" i="1"/>
  <c r="C16" i="1"/>
  <c r="E13" i="1"/>
  <c r="E16" i="1" s="1"/>
  <c r="J31" i="2" l="1"/>
  <c r="G31" i="2"/>
</calcChain>
</file>

<file path=xl/sharedStrings.xml><?xml version="1.0" encoding="utf-8"?>
<sst xmlns="http://schemas.openxmlformats.org/spreadsheetml/2006/main" count="82" uniqueCount="53">
  <si>
    <t>Aug</t>
  </si>
  <si>
    <t>Sep</t>
  </si>
  <si>
    <t>Oct</t>
  </si>
  <si>
    <t>Nov</t>
  </si>
  <si>
    <t>Revolt</t>
  </si>
  <si>
    <t xml:space="preserve">Aima </t>
  </si>
  <si>
    <t>Ather</t>
  </si>
  <si>
    <t>Yadeya</t>
  </si>
  <si>
    <t xml:space="preserve">Tvs </t>
  </si>
  <si>
    <t xml:space="preserve">V Moto </t>
  </si>
  <si>
    <t xml:space="preserve">TMR </t>
  </si>
  <si>
    <t>Alfa Luyan</t>
  </si>
  <si>
    <t>N Wow</t>
  </si>
  <si>
    <t>Other</t>
  </si>
  <si>
    <t xml:space="preserve">E Motorcycles </t>
  </si>
  <si>
    <t>EV</t>
  </si>
  <si>
    <t>100 to 150cc  ICE</t>
  </si>
  <si>
    <t>AMPARA</t>
  </si>
  <si>
    <t>NW</t>
  </si>
  <si>
    <t>ANURADHAPURA</t>
  </si>
  <si>
    <t>UP</t>
  </si>
  <si>
    <t xml:space="preserve">BADULLA </t>
  </si>
  <si>
    <t>EP</t>
  </si>
  <si>
    <t>BATTICALOA</t>
  </si>
  <si>
    <t>WP</t>
  </si>
  <si>
    <t>COLOMBO</t>
  </si>
  <si>
    <t>SP</t>
  </si>
  <si>
    <t>GALLE</t>
  </si>
  <si>
    <t>GAMPAHA</t>
  </si>
  <si>
    <t>HAMBANTOTA</t>
  </si>
  <si>
    <t>NP</t>
  </si>
  <si>
    <t>JAFFNA</t>
  </si>
  <si>
    <t>KALUTARA</t>
  </si>
  <si>
    <t>CP</t>
  </si>
  <si>
    <t>KANDY</t>
  </si>
  <si>
    <t>KEGALLE</t>
  </si>
  <si>
    <t>KILINOCHCHI</t>
  </si>
  <si>
    <t>KURUNEGALA</t>
  </si>
  <si>
    <t>MANNAR</t>
  </si>
  <si>
    <t>MATALE</t>
  </si>
  <si>
    <t>MATARA</t>
  </si>
  <si>
    <t>MONERAGALA</t>
  </si>
  <si>
    <t>MULLATIVU</t>
  </si>
  <si>
    <t>NUWARA-ELIYA</t>
  </si>
  <si>
    <t>NC</t>
  </si>
  <si>
    <t>POLONNARUWA</t>
  </si>
  <si>
    <t>PUTTALAM</t>
  </si>
  <si>
    <t>RATNAPURA</t>
  </si>
  <si>
    <t>TRINCOMALEE</t>
  </si>
  <si>
    <t>VAVUNIYA</t>
  </si>
  <si>
    <t>ICE</t>
  </si>
  <si>
    <t>2W</t>
  </si>
  <si>
    <t>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</si>
</sst>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1" fillId="2" borderId="0" xfId="0" applyNumberFormat="1" applyFont="1" applyFill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4" borderId="7" xfId="0" applyFill="1" applyBorder="1"/>
    <xf numFmtId="0" fontId="0" fillId="5" borderId="6" xfId="0" applyFill="1" applyBorder="1"/>
    <xf numFmtId="0" fontId="0" fillId="5" borderId="7" xfId="0" applyFill="1" applyBorder="1"/>
    <xf numFmtId="0" fontId="0" fillId="6" borderId="6" xfId="0" applyFill="1" applyBorder="1"/>
    <xf numFmtId="0" fontId="0" fillId="6" borderId="7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4" borderId="2" xfId="0" applyFill="1" applyBorder="1"/>
    <xf numFmtId="0" fontId="0" fillId="3" borderId="2" xfId="0" applyFill="1" applyBorder="1"/>
    <xf numFmtId="0" fontId="0" fillId="4" borderId="14" xfId="0" applyFill="1" applyBorder="1"/>
    <xf numFmtId="0" fontId="1" fillId="4" borderId="15" xfId="0" applyFont="1" applyFill="1" applyBorder="1"/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 textRotation="90" wrapText="1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textRotation="90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textRotation="90" wrapText="1"/>
    </xf>
    <xf numFmtId="0" fontId="1" fillId="0" borderId="1" xfId="0" applyFont="1" applyBorder="1"/>
    <xf numFmtId="0" fontId="1" fillId="3" borderId="1" xfId="0" applyFont="1" applyFill="1" applyBorder="1"/>
    <xf numFmtId="0" fontId="1" fillId="0" borderId="9" xfId="0" applyFont="1" applyBorder="1" applyAlignment="1">
      <alignment horizontal="center"/>
    </xf>
    <xf numFmtId="176" fontId="0" fillId="0" borderId="0" xfId="0" applyNumberFormat="1"/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7" fontId="2" fillId="5" borderId="3" xfId="0" applyNumberFormat="1" applyFont="1" applyFill="1" applyBorder="1" applyAlignment="1">
      <alignment horizontal="center"/>
    </xf>
    <xf numFmtId="17" fontId="2" fillId="5" borderId="4" xfId="0" applyNumberFormat="1" applyFont="1" applyFill="1" applyBorder="1" applyAlignment="1">
      <alignment horizontal="center"/>
    </xf>
    <xf numFmtId="17" fontId="2" fillId="5" borderId="5" xfId="0" applyNumberFormat="1" applyFont="1" applyFill="1" applyBorder="1" applyAlignment="1">
      <alignment horizontal="center"/>
    </xf>
    <xf numFmtId="17" fontId="2" fillId="6" borderId="3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7" fontId="2" fillId="4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7" fontId="1" fillId="0" borderId="22" xfId="0" applyNumberFormat="1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67869641294838"/>
          <c:y val="0"/>
          <c:w val="0.79732130358705167"/>
          <c:h val="0.817423589805592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[1]Sheet2!$C$4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[1]Sheet2!$B$6:$B$14</c:f>
              <c:strCache>
                <c:ptCount val="9"/>
                <c:pt idx="0">
                  <c:v>Aima </c:v>
                </c:pt>
                <c:pt idx="1">
                  <c:v>Ather</c:v>
                </c:pt>
                <c:pt idx="2">
                  <c:v>Yadeya</c:v>
                </c:pt>
                <c:pt idx="3">
                  <c:v>Tvs </c:v>
                </c:pt>
                <c:pt idx="4">
                  <c:v>V Moto </c:v>
                </c:pt>
                <c:pt idx="5">
                  <c:v>TMR </c:v>
                </c:pt>
                <c:pt idx="6">
                  <c:v>Alfa Luyan</c:v>
                </c:pt>
                <c:pt idx="7">
                  <c:v>N Wow</c:v>
                </c:pt>
                <c:pt idx="8">
                  <c:v>Other</c:v>
                </c:pt>
              </c:strCache>
            </c:strRef>
          </c:cat>
          <c:val>
            <c:numRef>
              <c:f>[1]Sheet2!$C$6:$C$14</c:f>
              <c:numCache>
                <c:formatCode>General</c:formatCode>
                <c:ptCount val="9"/>
                <c:pt idx="0">
                  <c:v>590</c:v>
                </c:pt>
                <c:pt idx="1">
                  <c:v>84</c:v>
                </c:pt>
                <c:pt idx="2">
                  <c:v>2743</c:v>
                </c:pt>
                <c:pt idx="3">
                  <c:v>126</c:v>
                </c:pt>
                <c:pt idx="4">
                  <c:v>23</c:v>
                </c:pt>
                <c:pt idx="5">
                  <c:v>171</c:v>
                </c:pt>
                <c:pt idx="6">
                  <c:v>18</c:v>
                </c:pt>
                <c:pt idx="7">
                  <c:v>255</c:v>
                </c:pt>
                <c:pt idx="8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1-4C62-855F-2506F8306FBE}"/>
            </c:ext>
          </c:extLst>
        </c:ser>
        <c:ser>
          <c:idx val="1"/>
          <c:order val="1"/>
          <c:tx>
            <c:strRef>
              <c:f>[1]Sheet2!$D$4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[1]Sheet2!$B$6:$B$14</c:f>
              <c:strCache>
                <c:ptCount val="9"/>
                <c:pt idx="0">
                  <c:v>Aima </c:v>
                </c:pt>
                <c:pt idx="1">
                  <c:v>Ather</c:v>
                </c:pt>
                <c:pt idx="2">
                  <c:v>Yadeya</c:v>
                </c:pt>
                <c:pt idx="3">
                  <c:v>Tvs </c:v>
                </c:pt>
                <c:pt idx="4">
                  <c:v>V Moto </c:v>
                </c:pt>
                <c:pt idx="5">
                  <c:v>TMR </c:v>
                </c:pt>
                <c:pt idx="6">
                  <c:v>Alfa Luyan</c:v>
                </c:pt>
                <c:pt idx="7">
                  <c:v>N Wow</c:v>
                </c:pt>
                <c:pt idx="8">
                  <c:v>Other</c:v>
                </c:pt>
              </c:strCache>
            </c:strRef>
          </c:cat>
          <c:val>
            <c:numRef>
              <c:f>[1]Sheet2!$D$6:$D$14</c:f>
              <c:numCache>
                <c:formatCode>General</c:formatCode>
                <c:ptCount val="9"/>
                <c:pt idx="0">
                  <c:v>516</c:v>
                </c:pt>
                <c:pt idx="1">
                  <c:v>85</c:v>
                </c:pt>
                <c:pt idx="2">
                  <c:v>1784</c:v>
                </c:pt>
                <c:pt idx="3">
                  <c:v>162</c:v>
                </c:pt>
                <c:pt idx="4">
                  <c:v>29</c:v>
                </c:pt>
                <c:pt idx="5">
                  <c:v>139</c:v>
                </c:pt>
                <c:pt idx="6">
                  <c:v>31</c:v>
                </c:pt>
                <c:pt idx="7">
                  <c:v>210</c:v>
                </c:pt>
                <c:pt idx="8">
                  <c:v>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1-4C62-855F-2506F8306FBE}"/>
            </c:ext>
          </c:extLst>
        </c:ser>
        <c:ser>
          <c:idx val="2"/>
          <c:order val="2"/>
          <c:tx>
            <c:strRef>
              <c:f>[1]Sheet2!$E$4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[1]Sheet2!$B$6:$B$14</c:f>
              <c:strCache>
                <c:ptCount val="9"/>
                <c:pt idx="0">
                  <c:v>Aima </c:v>
                </c:pt>
                <c:pt idx="1">
                  <c:v>Ather</c:v>
                </c:pt>
                <c:pt idx="2">
                  <c:v>Yadeya</c:v>
                </c:pt>
                <c:pt idx="3">
                  <c:v>Tvs </c:v>
                </c:pt>
                <c:pt idx="4">
                  <c:v>V Moto </c:v>
                </c:pt>
                <c:pt idx="5">
                  <c:v>TMR </c:v>
                </c:pt>
                <c:pt idx="6">
                  <c:v>Alfa Luyan</c:v>
                </c:pt>
                <c:pt idx="7">
                  <c:v>N Wow</c:v>
                </c:pt>
                <c:pt idx="8">
                  <c:v>Other</c:v>
                </c:pt>
              </c:strCache>
            </c:strRef>
          </c:cat>
          <c:val>
            <c:numRef>
              <c:f>[1]Sheet2!$E$6:$E$14</c:f>
              <c:numCache>
                <c:formatCode>General</c:formatCode>
                <c:ptCount val="9"/>
                <c:pt idx="0">
                  <c:v>435</c:v>
                </c:pt>
                <c:pt idx="1">
                  <c:v>113</c:v>
                </c:pt>
                <c:pt idx="2">
                  <c:v>1794</c:v>
                </c:pt>
                <c:pt idx="3">
                  <c:v>223</c:v>
                </c:pt>
                <c:pt idx="4">
                  <c:v>36</c:v>
                </c:pt>
                <c:pt idx="5">
                  <c:v>204</c:v>
                </c:pt>
                <c:pt idx="6">
                  <c:v>30</c:v>
                </c:pt>
                <c:pt idx="7">
                  <c:v>140</c:v>
                </c:pt>
                <c:pt idx="8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51-4C62-855F-2506F8306FBE}"/>
            </c:ext>
          </c:extLst>
        </c:ser>
        <c:ser>
          <c:idx val="3"/>
          <c:order val="3"/>
          <c:tx>
            <c:strRef>
              <c:f>[1]Sheet2!$F$4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[1]Sheet2!$B$6:$B$14</c:f>
              <c:strCache>
                <c:ptCount val="9"/>
                <c:pt idx="0">
                  <c:v>Aima </c:v>
                </c:pt>
                <c:pt idx="1">
                  <c:v>Ather</c:v>
                </c:pt>
                <c:pt idx="2">
                  <c:v>Yadeya</c:v>
                </c:pt>
                <c:pt idx="3">
                  <c:v>Tvs </c:v>
                </c:pt>
                <c:pt idx="4">
                  <c:v>V Moto </c:v>
                </c:pt>
                <c:pt idx="5">
                  <c:v>TMR </c:v>
                </c:pt>
                <c:pt idx="6">
                  <c:v>Alfa Luyan</c:v>
                </c:pt>
                <c:pt idx="7">
                  <c:v>N Wow</c:v>
                </c:pt>
                <c:pt idx="8">
                  <c:v>Other</c:v>
                </c:pt>
              </c:strCache>
            </c:strRef>
          </c:cat>
          <c:val>
            <c:numRef>
              <c:f>[1]Sheet2!$F$6:$F$14</c:f>
              <c:numCache>
                <c:formatCode>General</c:formatCode>
                <c:ptCount val="9"/>
                <c:pt idx="0">
                  <c:v>299</c:v>
                </c:pt>
                <c:pt idx="1">
                  <c:v>68</c:v>
                </c:pt>
                <c:pt idx="2">
                  <c:v>1374</c:v>
                </c:pt>
                <c:pt idx="3">
                  <c:v>154</c:v>
                </c:pt>
                <c:pt idx="4">
                  <c:v>20</c:v>
                </c:pt>
                <c:pt idx="5">
                  <c:v>93</c:v>
                </c:pt>
                <c:pt idx="6">
                  <c:v>18</c:v>
                </c:pt>
                <c:pt idx="7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51-4C62-855F-2506F8306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735119"/>
        <c:axId val="1624751919"/>
      </c:barChart>
      <c:catAx>
        <c:axId val="1624735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51919"/>
        <c:crosses val="autoZero"/>
        <c:auto val="1"/>
        <c:lblAlgn val="ctr"/>
        <c:lblOffset val="100"/>
        <c:noMultiLvlLbl val="0"/>
      </c:catAx>
      <c:valAx>
        <c:axId val="162475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3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</xdr:colOff>
      <xdr:row>16</xdr:row>
      <xdr:rowOff>52070</xdr:rowOff>
    </xdr:from>
    <xdr:to>
      <xdr:col>6</xdr:col>
      <xdr:colOff>618490</xdr:colOff>
      <xdr:row>38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4C505-8E61-461F-B71A-D9DCD2552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cuments\RMV%20STAT\RMV%20September.xlsx" TargetMode="External"/><Relationship Id="rId1" Type="http://schemas.openxmlformats.org/officeDocument/2006/relationships/externalLinkPath" Target="/Users/admin/Documents/RMV%20STAT/RMV%20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>
        <row r="4">
          <cell r="C4" t="str">
            <v>Aug</v>
          </cell>
          <cell r="D4" t="str">
            <v>Sep</v>
          </cell>
          <cell r="E4" t="str">
            <v>Oct</v>
          </cell>
          <cell r="F4" t="str">
            <v>Nov</v>
          </cell>
        </row>
        <row r="6">
          <cell r="B6" t="str">
            <v xml:space="preserve">Aima </v>
          </cell>
          <cell r="C6">
            <v>590</v>
          </cell>
          <cell r="D6">
            <v>516</v>
          </cell>
          <cell r="E6">
            <v>435</v>
          </cell>
          <cell r="F6">
            <v>299</v>
          </cell>
        </row>
        <row r="7">
          <cell r="B7" t="str">
            <v>Ather</v>
          </cell>
          <cell r="C7">
            <v>84</v>
          </cell>
          <cell r="D7">
            <v>85</v>
          </cell>
          <cell r="E7">
            <v>113</v>
          </cell>
          <cell r="F7">
            <v>68</v>
          </cell>
        </row>
        <row r="8">
          <cell r="B8" t="str">
            <v>Yadeya</v>
          </cell>
          <cell r="C8">
            <v>2743</v>
          </cell>
          <cell r="D8">
            <v>1784</v>
          </cell>
          <cell r="E8">
            <v>1794</v>
          </cell>
          <cell r="F8">
            <v>1374</v>
          </cell>
        </row>
        <row r="9">
          <cell r="B9" t="str">
            <v xml:space="preserve">Tvs </v>
          </cell>
          <cell r="C9">
            <v>126</v>
          </cell>
          <cell r="D9">
            <v>162</v>
          </cell>
          <cell r="E9">
            <v>223</v>
          </cell>
          <cell r="F9">
            <v>154</v>
          </cell>
        </row>
        <row r="10">
          <cell r="B10" t="str">
            <v xml:space="preserve">V Moto </v>
          </cell>
          <cell r="C10">
            <v>23</v>
          </cell>
          <cell r="D10">
            <v>29</v>
          </cell>
          <cell r="E10">
            <v>36</v>
          </cell>
          <cell r="F10">
            <v>20</v>
          </cell>
        </row>
        <row r="11">
          <cell r="B11" t="str">
            <v xml:space="preserve">TMR </v>
          </cell>
          <cell r="C11">
            <v>171</v>
          </cell>
          <cell r="D11">
            <v>139</v>
          </cell>
          <cell r="E11">
            <v>204</v>
          </cell>
          <cell r="F11">
            <v>93</v>
          </cell>
        </row>
        <row r="12">
          <cell r="B12" t="str">
            <v>Alfa Luyan</v>
          </cell>
          <cell r="C12">
            <v>18</v>
          </cell>
          <cell r="D12">
            <v>31</v>
          </cell>
          <cell r="E12">
            <v>30</v>
          </cell>
          <cell r="F12">
            <v>18</v>
          </cell>
        </row>
        <row r="13">
          <cell r="B13" t="str">
            <v>N Wow</v>
          </cell>
          <cell r="C13">
            <v>255</v>
          </cell>
          <cell r="D13">
            <v>210</v>
          </cell>
          <cell r="E13">
            <v>140</v>
          </cell>
          <cell r="F13">
            <v>120</v>
          </cell>
        </row>
        <row r="14">
          <cell r="B14" t="str">
            <v>Other</v>
          </cell>
          <cell r="C14">
            <v>571</v>
          </cell>
          <cell r="D14">
            <v>575</v>
          </cell>
          <cell r="E14">
            <v>404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39D8-1111-4769-9748-389910524DAE}">
  <sheetPr>
    <pageSetUpPr fitToPage="1"/>
  </sheetPr>
  <dimension ref="B2:H16"/>
  <sheetViews>
    <sheetView tabSelected="1" workbookViewId="0">
      <selection activeCell="H10" sqref="H10"/>
    </sheetView>
  </sheetViews>
  <sheetFormatPr defaultRowHeight="14"/>
  <cols>
    <col min="2" max="6" width="20.58203125" customWidth="1"/>
  </cols>
  <sheetData>
    <row r="2" spans="2:8">
      <c r="C2" s="47" t="s">
        <v>0</v>
      </c>
      <c r="D2" s="47" t="s">
        <v>1</v>
      </c>
      <c r="E2" s="47" t="s">
        <v>2</v>
      </c>
      <c r="F2" s="47" t="s">
        <v>3</v>
      </c>
    </row>
    <row r="3" spans="2:8">
      <c r="B3" s="6" t="s">
        <v>4</v>
      </c>
      <c r="C3" s="6">
        <v>12</v>
      </c>
      <c r="D3" s="6">
        <v>15</v>
      </c>
      <c r="E3" s="6">
        <v>16</v>
      </c>
      <c r="F3" s="6">
        <v>20</v>
      </c>
    </row>
    <row r="4" spans="2:8">
      <c r="B4" s="6" t="s">
        <v>5</v>
      </c>
      <c r="C4" s="6">
        <v>590</v>
      </c>
      <c r="D4" s="6">
        <v>516</v>
      </c>
      <c r="E4" s="6">
        <v>435</v>
      </c>
      <c r="F4" s="6">
        <v>299</v>
      </c>
    </row>
    <row r="5" spans="2:8">
      <c r="B5" s="6" t="s">
        <v>6</v>
      </c>
      <c r="C5" s="6">
        <v>84</v>
      </c>
      <c r="D5" s="6">
        <v>85</v>
      </c>
      <c r="E5" s="6">
        <v>113</v>
      </c>
      <c r="F5" s="6">
        <v>68</v>
      </c>
    </row>
    <row r="6" spans="2:8">
      <c r="B6" s="6" t="s">
        <v>7</v>
      </c>
      <c r="C6" s="6">
        <v>2743</v>
      </c>
      <c r="D6" s="6">
        <v>1784</v>
      </c>
      <c r="E6" s="6">
        <v>1794</v>
      </c>
      <c r="F6" s="6">
        <v>1374</v>
      </c>
    </row>
    <row r="7" spans="2:8">
      <c r="B7" s="6" t="s">
        <v>8</v>
      </c>
      <c r="C7" s="6">
        <v>126</v>
      </c>
      <c r="D7" s="6">
        <v>162</v>
      </c>
      <c r="E7" s="6">
        <v>223</v>
      </c>
      <c r="F7" s="6">
        <v>154</v>
      </c>
    </row>
    <row r="8" spans="2:8">
      <c r="B8" s="6" t="s">
        <v>9</v>
      </c>
      <c r="C8" s="6">
        <v>23</v>
      </c>
      <c r="D8" s="6">
        <v>29</v>
      </c>
      <c r="E8" s="6">
        <v>36</v>
      </c>
      <c r="F8" s="6">
        <v>20</v>
      </c>
    </row>
    <row r="9" spans="2:8">
      <c r="B9" s="6" t="s">
        <v>10</v>
      </c>
      <c r="C9" s="6">
        <v>171</v>
      </c>
      <c r="D9" s="6">
        <v>139</v>
      </c>
      <c r="E9" s="6">
        <v>204</v>
      </c>
      <c r="F9" s="6">
        <v>93</v>
      </c>
    </row>
    <row r="10" spans="2:8">
      <c r="B10" s="6" t="s">
        <v>11</v>
      </c>
      <c r="C10" s="6">
        <v>18</v>
      </c>
      <c r="D10" s="6">
        <v>31</v>
      </c>
      <c r="E10" s="6">
        <v>30</v>
      </c>
      <c r="F10" s="6">
        <v>18</v>
      </c>
    </row>
    <row r="11" spans="2:8">
      <c r="B11" s="6" t="s">
        <v>12</v>
      </c>
      <c r="C11" s="6">
        <v>255</v>
      </c>
      <c r="D11" s="6">
        <v>210</v>
      </c>
      <c r="E11" s="6">
        <v>140</v>
      </c>
      <c r="F11" s="6">
        <v>120</v>
      </c>
    </row>
    <row r="12" spans="2:8">
      <c r="B12" s="6" t="s">
        <v>13</v>
      </c>
      <c r="C12" s="6">
        <v>571</v>
      </c>
      <c r="D12" s="6">
        <v>575</v>
      </c>
      <c r="E12" s="6">
        <v>404</v>
      </c>
      <c r="F12" s="6"/>
    </row>
    <row r="13" spans="2:8">
      <c r="B13" s="6"/>
      <c r="C13" s="6">
        <v>4581</v>
      </c>
      <c r="D13" s="6">
        <v>3531</v>
      </c>
      <c r="E13" s="6">
        <f>SUM(E3:E12)</f>
        <v>3395</v>
      </c>
      <c r="F13" s="6">
        <v>2524</v>
      </c>
    </row>
    <row r="15" spans="2:8">
      <c r="B15" s="6" t="s">
        <v>14</v>
      </c>
      <c r="C15" s="6">
        <v>12</v>
      </c>
      <c r="D15" s="6">
        <v>22</v>
      </c>
      <c r="E15" s="6">
        <v>16</v>
      </c>
      <c r="F15" s="6">
        <v>22</v>
      </c>
      <c r="G15" s="2"/>
      <c r="H15" s="1"/>
    </row>
    <row r="16" spans="2:8">
      <c r="C16" s="3">
        <f>C15/C13*100</f>
        <v>0.26195153896529144</v>
      </c>
      <c r="D16" s="3">
        <f t="shared" ref="D16:F16" si="0">D15/D13*100</f>
        <v>0.62305295950155759</v>
      </c>
      <c r="E16" s="3">
        <f t="shared" si="0"/>
        <v>0.47128129602356406</v>
      </c>
      <c r="F16" s="3">
        <f t="shared" si="0"/>
        <v>0.87163232963549919</v>
      </c>
    </row>
  </sheetData>
  <phoneticPr fontId="3" type="noConversion"/>
  <pageMargins left="0.25" right="0.25" top="0.75" bottom="0.75" header="0.3" footer="0.3"/>
  <pageSetup paperSize="9" scale="80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7CBC-E487-492F-9413-408020A918C8}">
  <sheetPr>
    <pageSetUpPr fitToPage="1"/>
  </sheetPr>
  <dimension ref="A1:K36"/>
  <sheetViews>
    <sheetView topLeftCell="A11" zoomScaleNormal="100" workbookViewId="0">
      <selection activeCell="N7" sqref="N7"/>
    </sheetView>
  </sheetViews>
  <sheetFormatPr defaultRowHeight="14"/>
  <cols>
    <col min="1" max="1" width="5.9140625" customWidth="1"/>
    <col min="2" max="2" width="15.25" bestFit="1" customWidth="1"/>
    <col min="3" max="11" width="10.75" customWidth="1"/>
  </cols>
  <sheetData>
    <row r="1" spans="1:11" ht="14.5" thickBot="1"/>
    <row r="2" spans="1:11" ht="14.5" thickBot="1">
      <c r="C2" s="61" t="s">
        <v>51</v>
      </c>
      <c r="D2" s="62"/>
      <c r="E2" s="62"/>
      <c r="F2" s="62"/>
      <c r="G2" s="62"/>
      <c r="H2" s="62"/>
      <c r="I2" s="62"/>
      <c r="J2" s="62"/>
      <c r="K2" s="63"/>
    </row>
    <row r="3" spans="1:11" ht="15.5">
      <c r="C3" s="58">
        <v>45901</v>
      </c>
      <c r="D3" s="59"/>
      <c r="E3" s="60"/>
      <c r="F3" s="52">
        <v>45931</v>
      </c>
      <c r="G3" s="53"/>
      <c r="H3" s="54"/>
      <c r="I3" s="55">
        <v>45962</v>
      </c>
      <c r="J3" s="56"/>
      <c r="K3" s="57"/>
    </row>
    <row r="4" spans="1:11" ht="70.25" customHeight="1">
      <c r="C4" s="36" t="s">
        <v>50</v>
      </c>
      <c r="D4" s="37" t="s">
        <v>15</v>
      </c>
      <c r="E4" s="38" t="s">
        <v>16</v>
      </c>
      <c r="F4" s="39" t="s">
        <v>50</v>
      </c>
      <c r="G4" s="40" t="s">
        <v>15</v>
      </c>
      <c r="H4" s="41" t="s">
        <v>16</v>
      </c>
      <c r="I4" s="42" t="s">
        <v>50</v>
      </c>
      <c r="J4" s="43" t="s">
        <v>15</v>
      </c>
      <c r="K4" s="44" t="s">
        <v>16</v>
      </c>
    </row>
    <row r="5" spans="1:11">
      <c r="A5" s="1" t="s">
        <v>22</v>
      </c>
      <c r="B5" s="45" t="s">
        <v>17</v>
      </c>
      <c r="C5" s="32">
        <v>1411</v>
      </c>
      <c r="D5" s="4">
        <v>81</v>
      </c>
      <c r="E5" s="8">
        <v>722</v>
      </c>
      <c r="F5" s="9">
        <v>1134</v>
      </c>
      <c r="G5" s="5">
        <v>78</v>
      </c>
      <c r="H5" s="10">
        <v>438</v>
      </c>
      <c r="I5" s="11">
        <v>1377</v>
      </c>
      <c r="J5" s="7">
        <v>49</v>
      </c>
      <c r="K5" s="12">
        <v>344</v>
      </c>
    </row>
    <row r="6" spans="1:11">
      <c r="A6" s="46" t="s">
        <v>18</v>
      </c>
      <c r="B6" s="46" t="s">
        <v>19</v>
      </c>
      <c r="C6" s="33">
        <v>2009</v>
      </c>
      <c r="D6" s="30">
        <v>328</v>
      </c>
      <c r="E6" s="31">
        <v>644</v>
      </c>
      <c r="F6" s="29">
        <v>2328</v>
      </c>
      <c r="G6" s="30">
        <v>368</v>
      </c>
      <c r="H6" s="31">
        <v>938</v>
      </c>
      <c r="I6" s="29">
        <v>2084</v>
      </c>
      <c r="J6" s="30">
        <v>231</v>
      </c>
      <c r="K6" s="31">
        <v>803</v>
      </c>
    </row>
    <row r="7" spans="1:11">
      <c r="A7" s="45" t="s">
        <v>20</v>
      </c>
      <c r="B7" s="45" t="s">
        <v>21</v>
      </c>
      <c r="C7" s="32">
        <v>628</v>
      </c>
      <c r="D7" s="4">
        <v>32</v>
      </c>
      <c r="E7" s="8">
        <v>221</v>
      </c>
      <c r="F7" s="9">
        <v>671</v>
      </c>
      <c r="G7" s="5">
        <v>38</v>
      </c>
      <c r="H7" s="10">
        <v>218</v>
      </c>
      <c r="I7" s="11">
        <v>742</v>
      </c>
      <c r="J7" s="7">
        <v>14</v>
      </c>
      <c r="K7" s="12">
        <v>206</v>
      </c>
    </row>
    <row r="8" spans="1:11">
      <c r="A8" s="45" t="s">
        <v>22</v>
      </c>
      <c r="B8" s="45" t="s">
        <v>23</v>
      </c>
      <c r="C8" s="32">
        <v>1358</v>
      </c>
      <c r="D8" s="4">
        <v>16</v>
      </c>
      <c r="E8" s="8">
        <v>588</v>
      </c>
      <c r="F8" s="9">
        <v>1057</v>
      </c>
      <c r="G8" s="5">
        <v>19</v>
      </c>
      <c r="H8" s="10">
        <v>382</v>
      </c>
      <c r="I8" s="11">
        <v>1213</v>
      </c>
      <c r="J8" s="7">
        <v>31</v>
      </c>
      <c r="K8" s="12">
        <v>231</v>
      </c>
    </row>
    <row r="9" spans="1:11">
      <c r="A9" s="46" t="s">
        <v>24</v>
      </c>
      <c r="B9" s="46" t="s">
        <v>25</v>
      </c>
      <c r="C9" s="33">
        <v>3133</v>
      </c>
      <c r="D9" s="30">
        <v>323</v>
      </c>
      <c r="E9" s="31">
        <v>998</v>
      </c>
      <c r="F9" s="29">
        <v>3424</v>
      </c>
      <c r="G9" s="30">
        <v>307</v>
      </c>
      <c r="H9" s="31">
        <v>1031</v>
      </c>
      <c r="I9" s="29">
        <v>3323</v>
      </c>
      <c r="J9" s="30">
        <v>208</v>
      </c>
      <c r="K9" s="31">
        <v>931</v>
      </c>
    </row>
    <row r="10" spans="1:11">
      <c r="A10" s="46" t="s">
        <v>26</v>
      </c>
      <c r="B10" s="46" t="s">
        <v>27</v>
      </c>
      <c r="C10" s="33">
        <v>1654</v>
      </c>
      <c r="D10" s="30">
        <v>250</v>
      </c>
      <c r="E10" s="31">
        <v>544</v>
      </c>
      <c r="F10" s="29">
        <v>2136</v>
      </c>
      <c r="G10" s="30">
        <v>249</v>
      </c>
      <c r="H10" s="31">
        <v>646</v>
      </c>
      <c r="I10" s="29">
        <v>1922</v>
      </c>
      <c r="J10" s="30">
        <v>157</v>
      </c>
      <c r="K10" s="31">
        <v>619</v>
      </c>
    </row>
    <row r="11" spans="1:11">
      <c r="A11" s="46" t="s">
        <v>24</v>
      </c>
      <c r="B11" s="46" t="s">
        <v>28</v>
      </c>
      <c r="C11" s="33">
        <v>2876</v>
      </c>
      <c r="D11" s="30">
        <v>343</v>
      </c>
      <c r="E11" s="31">
        <v>920</v>
      </c>
      <c r="F11" s="29">
        <v>3440</v>
      </c>
      <c r="G11" s="30">
        <v>388</v>
      </c>
      <c r="H11" s="31">
        <v>873</v>
      </c>
      <c r="I11" s="29">
        <v>3083</v>
      </c>
      <c r="J11" s="30">
        <v>249</v>
      </c>
      <c r="K11" s="31">
        <v>780</v>
      </c>
    </row>
    <row r="12" spans="1:11">
      <c r="A12" s="45" t="s">
        <v>26</v>
      </c>
      <c r="B12" s="45" t="s">
        <v>29</v>
      </c>
      <c r="C12" s="32">
        <v>941</v>
      </c>
      <c r="D12" s="4">
        <v>236</v>
      </c>
      <c r="E12" s="8">
        <v>237</v>
      </c>
      <c r="F12" s="9">
        <v>1181</v>
      </c>
      <c r="G12" s="5">
        <v>215</v>
      </c>
      <c r="H12" s="10">
        <v>467</v>
      </c>
      <c r="I12" s="11">
        <v>1154</v>
      </c>
      <c r="J12" s="7">
        <v>155</v>
      </c>
      <c r="K12" s="12">
        <v>454</v>
      </c>
    </row>
    <row r="13" spans="1:11">
      <c r="A13" s="45" t="s">
        <v>30</v>
      </c>
      <c r="B13" s="45" t="s">
        <v>31</v>
      </c>
      <c r="C13" s="32">
        <v>1334</v>
      </c>
      <c r="D13" s="4">
        <v>80</v>
      </c>
      <c r="E13" s="8">
        <v>362</v>
      </c>
      <c r="F13" s="9">
        <v>1289</v>
      </c>
      <c r="G13" s="5">
        <v>90</v>
      </c>
      <c r="H13" s="10">
        <v>355</v>
      </c>
      <c r="I13" s="11">
        <v>1230</v>
      </c>
      <c r="J13" s="7">
        <v>92</v>
      </c>
      <c r="K13" s="12">
        <v>238</v>
      </c>
    </row>
    <row r="14" spans="1:11">
      <c r="A14" s="46" t="s">
        <v>24</v>
      </c>
      <c r="B14" s="46" t="s">
        <v>32</v>
      </c>
      <c r="C14" s="33">
        <v>1561</v>
      </c>
      <c r="D14" s="30">
        <v>227</v>
      </c>
      <c r="E14" s="31">
        <v>512</v>
      </c>
      <c r="F14" s="29">
        <v>1968</v>
      </c>
      <c r="G14" s="30">
        <v>210</v>
      </c>
      <c r="H14" s="31">
        <v>604</v>
      </c>
      <c r="I14" s="29">
        <v>1673</v>
      </c>
      <c r="J14" s="30">
        <v>146</v>
      </c>
      <c r="K14" s="31">
        <v>471</v>
      </c>
    </row>
    <row r="15" spans="1:11">
      <c r="A15" s="45" t="s">
        <v>33</v>
      </c>
      <c r="B15" s="45" t="s">
        <v>34</v>
      </c>
      <c r="C15" s="32">
        <v>954</v>
      </c>
      <c r="D15" s="4">
        <v>35</v>
      </c>
      <c r="E15" s="8">
        <v>285</v>
      </c>
      <c r="F15" s="9">
        <v>1074</v>
      </c>
      <c r="G15" s="5">
        <v>34</v>
      </c>
      <c r="H15" s="10">
        <v>277</v>
      </c>
      <c r="I15" s="11">
        <v>1114</v>
      </c>
      <c r="J15" s="7">
        <v>24</v>
      </c>
      <c r="K15" s="12">
        <v>300</v>
      </c>
    </row>
    <row r="16" spans="1:11">
      <c r="A16" s="45" t="s">
        <v>26</v>
      </c>
      <c r="B16" s="45" t="s">
        <v>35</v>
      </c>
      <c r="C16" s="32">
        <v>622</v>
      </c>
      <c r="D16" s="4">
        <v>32</v>
      </c>
      <c r="E16" s="8">
        <v>240</v>
      </c>
      <c r="F16" s="9">
        <v>711</v>
      </c>
      <c r="G16" s="5">
        <v>36</v>
      </c>
      <c r="H16" s="10">
        <v>279</v>
      </c>
      <c r="I16" s="11">
        <v>733</v>
      </c>
      <c r="J16" s="7">
        <v>18</v>
      </c>
      <c r="K16" s="12">
        <v>253</v>
      </c>
    </row>
    <row r="17" spans="1:11">
      <c r="A17" s="45" t="s">
        <v>30</v>
      </c>
      <c r="B17" s="45" t="s">
        <v>36</v>
      </c>
      <c r="C17" s="32">
        <v>444</v>
      </c>
      <c r="D17" s="4">
        <v>40</v>
      </c>
      <c r="E17" s="8">
        <v>207</v>
      </c>
      <c r="F17" s="9">
        <v>384</v>
      </c>
      <c r="G17" s="5">
        <v>48</v>
      </c>
      <c r="H17" s="10">
        <v>156</v>
      </c>
      <c r="I17" s="11">
        <v>374</v>
      </c>
      <c r="J17" s="7">
        <v>44</v>
      </c>
      <c r="K17" s="12">
        <v>109</v>
      </c>
    </row>
    <row r="18" spans="1:11">
      <c r="A18" s="46" t="s">
        <v>18</v>
      </c>
      <c r="B18" s="46" t="s">
        <v>37</v>
      </c>
      <c r="C18" s="33">
        <v>2458</v>
      </c>
      <c r="D18" s="30">
        <v>643</v>
      </c>
      <c r="E18" s="31">
        <v>860</v>
      </c>
      <c r="F18" s="29">
        <v>3310</v>
      </c>
      <c r="G18" s="30">
        <v>644</v>
      </c>
      <c r="H18" s="31">
        <v>1130</v>
      </c>
      <c r="I18" s="29">
        <v>3022</v>
      </c>
      <c r="J18" s="30">
        <v>420</v>
      </c>
      <c r="K18" s="31">
        <v>1106</v>
      </c>
    </row>
    <row r="19" spans="1:11">
      <c r="A19" s="45" t="s">
        <v>30</v>
      </c>
      <c r="B19" s="45" t="s">
        <v>38</v>
      </c>
      <c r="C19" s="32">
        <v>275</v>
      </c>
      <c r="D19" s="4">
        <v>9</v>
      </c>
      <c r="E19" s="8">
        <v>123</v>
      </c>
      <c r="F19" s="9">
        <v>261</v>
      </c>
      <c r="G19" s="5">
        <v>22</v>
      </c>
      <c r="H19" s="10">
        <v>90</v>
      </c>
      <c r="I19" s="11">
        <v>276</v>
      </c>
      <c r="J19" s="7">
        <v>24</v>
      </c>
      <c r="K19" s="12">
        <v>93</v>
      </c>
    </row>
    <row r="20" spans="1:11">
      <c r="A20" s="45" t="s">
        <v>33</v>
      </c>
      <c r="B20" s="45" t="s">
        <v>39</v>
      </c>
      <c r="C20" s="32">
        <v>461</v>
      </c>
      <c r="D20" s="4">
        <v>39</v>
      </c>
      <c r="E20" s="8">
        <v>155</v>
      </c>
      <c r="F20" s="9">
        <v>509</v>
      </c>
      <c r="G20" s="5">
        <v>37</v>
      </c>
      <c r="H20" s="10">
        <v>168</v>
      </c>
      <c r="I20" s="11">
        <v>545</v>
      </c>
      <c r="J20" s="7">
        <v>32</v>
      </c>
      <c r="K20" s="12">
        <v>189</v>
      </c>
    </row>
    <row r="21" spans="1:11">
      <c r="A21" s="45" t="s">
        <v>26</v>
      </c>
      <c r="B21" s="45" t="s">
        <v>40</v>
      </c>
      <c r="C21" s="32">
        <v>932</v>
      </c>
      <c r="D21" s="4">
        <v>154</v>
      </c>
      <c r="E21" s="8">
        <v>277</v>
      </c>
      <c r="F21" s="9">
        <v>1075</v>
      </c>
      <c r="G21" s="5">
        <v>101</v>
      </c>
      <c r="H21" s="10">
        <v>316</v>
      </c>
      <c r="I21" s="11">
        <v>1014</v>
      </c>
      <c r="J21" s="7">
        <v>85</v>
      </c>
      <c r="K21" s="12">
        <v>290</v>
      </c>
    </row>
    <row r="22" spans="1:11">
      <c r="A22" s="45" t="s">
        <v>20</v>
      </c>
      <c r="B22" s="45" t="s">
        <v>41</v>
      </c>
      <c r="C22" s="32">
        <v>600</v>
      </c>
      <c r="D22" s="4">
        <v>126</v>
      </c>
      <c r="E22" s="8">
        <v>203</v>
      </c>
      <c r="F22" s="9">
        <v>815</v>
      </c>
      <c r="G22" s="5">
        <v>119</v>
      </c>
      <c r="H22" s="10">
        <v>373</v>
      </c>
      <c r="I22" s="11">
        <v>762</v>
      </c>
      <c r="J22" s="7">
        <v>130</v>
      </c>
      <c r="K22" s="12">
        <v>301</v>
      </c>
    </row>
    <row r="23" spans="1:11">
      <c r="A23" s="45" t="s">
        <v>30</v>
      </c>
      <c r="B23" s="45" t="s">
        <v>42</v>
      </c>
      <c r="C23" s="32">
        <v>366</v>
      </c>
      <c r="D23" s="4">
        <v>31</v>
      </c>
      <c r="E23" s="8">
        <v>169</v>
      </c>
      <c r="F23" s="9">
        <v>343</v>
      </c>
      <c r="G23" s="5">
        <v>19</v>
      </c>
      <c r="H23" s="10">
        <v>155</v>
      </c>
      <c r="I23" s="11">
        <v>294</v>
      </c>
      <c r="J23" s="7">
        <v>23</v>
      </c>
      <c r="K23" s="12">
        <v>105</v>
      </c>
    </row>
    <row r="24" spans="1:11">
      <c r="A24" s="45" t="s">
        <v>33</v>
      </c>
      <c r="B24" s="45" t="s">
        <v>43</v>
      </c>
      <c r="C24" s="32">
        <v>345</v>
      </c>
      <c r="D24" s="4">
        <v>6</v>
      </c>
      <c r="E24" s="8">
        <v>137</v>
      </c>
      <c r="F24" s="9">
        <v>360</v>
      </c>
      <c r="G24" s="5">
        <v>2</v>
      </c>
      <c r="H24" s="10">
        <v>147</v>
      </c>
      <c r="I24" s="11">
        <v>365</v>
      </c>
      <c r="J24" s="7">
        <v>1</v>
      </c>
      <c r="K24" s="12">
        <v>119</v>
      </c>
    </row>
    <row r="25" spans="1:11">
      <c r="A25" s="45" t="s">
        <v>44</v>
      </c>
      <c r="B25" s="45" t="s">
        <v>45</v>
      </c>
      <c r="C25" s="32">
        <v>1075</v>
      </c>
      <c r="D25" s="4">
        <v>157</v>
      </c>
      <c r="E25" s="8">
        <v>442</v>
      </c>
      <c r="F25" s="9">
        <v>1169</v>
      </c>
      <c r="G25" s="5">
        <v>145</v>
      </c>
      <c r="H25" s="10">
        <v>568</v>
      </c>
      <c r="I25" s="11">
        <v>1035</v>
      </c>
      <c r="J25" s="7">
        <v>101</v>
      </c>
      <c r="K25" s="12">
        <v>467</v>
      </c>
    </row>
    <row r="26" spans="1:11">
      <c r="A26" s="46" t="s">
        <v>18</v>
      </c>
      <c r="B26" s="46" t="s">
        <v>46</v>
      </c>
      <c r="C26" s="33">
        <v>1348</v>
      </c>
      <c r="D26" s="30">
        <v>200</v>
      </c>
      <c r="E26" s="31">
        <v>426</v>
      </c>
      <c r="F26" s="29">
        <v>1773</v>
      </c>
      <c r="G26" s="30">
        <v>257</v>
      </c>
      <c r="H26" s="31">
        <v>509</v>
      </c>
      <c r="I26" s="29">
        <v>1710</v>
      </c>
      <c r="J26" s="30">
        <v>150</v>
      </c>
      <c r="K26" s="31">
        <v>560</v>
      </c>
    </row>
    <row r="27" spans="1:11">
      <c r="A27" s="45" t="s">
        <v>26</v>
      </c>
      <c r="B27" s="45" t="s">
        <v>47</v>
      </c>
      <c r="C27" s="32">
        <v>939</v>
      </c>
      <c r="D27" s="4">
        <v>92</v>
      </c>
      <c r="E27" s="8">
        <v>391</v>
      </c>
      <c r="F27" s="9">
        <v>1133</v>
      </c>
      <c r="G27" s="5">
        <v>78</v>
      </c>
      <c r="H27" s="10">
        <v>403</v>
      </c>
      <c r="I27" s="11">
        <v>1139</v>
      </c>
      <c r="J27" s="7">
        <v>61</v>
      </c>
      <c r="K27" s="12">
        <v>378</v>
      </c>
    </row>
    <row r="28" spans="1:11">
      <c r="A28" s="45" t="s">
        <v>22</v>
      </c>
      <c r="B28" s="45" t="s">
        <v>48</v>
      </c>
      <c r="C28" s="32">
        <v>827</v>
      </c>
      <c r="D28" s="4">
        <v>42</v>
      </c>
      <c r="E28" s="8">
        <v>321</v>
      </c>
      <c r="F28" s="9">
        <v>817</v>
      </c>
      <c r="G28" s="5">
        <v>49</v>
      </c>
      <c r="H28" s="10">
        <v>324</v>
      </c>
      <c r="I28" s="11">
        <v>947</v>
      </c>
      <c r="J28" s="7">
        <v>47</v>
      </c>
      <c r="K28" s="12">
        <v>267</v>
      </c>
    </row>
    <row r="29" spans="1:11" ht="14.5" thickBot="1">
      <c r="A29" s="45" t="s">
        <v>30</v>
      </c>
      <c r="B29" s="45" t="s">
        <v>49</v>
      </c>
      <c r="C29" s="34">
        <v>342</v>
      </c>
      <c r="D29" s="13">
        <v>9</v>
      </c>
      <c r="E29" s="14">
        <v>101</v>
      </c>
      <c r="F29" s="15">
        <v>369</v>
      </c>
      <c r="G29" s="16">
        <v>22</v>
      </c>
      <c r="H29" s="17">
        <v>113</v>
      </c>
      <c r="I29" s="18">
        <v>370</v>
      </c>
      <c r="J29" s="19">
        <v>18</v>
      </c>
      <c r="K29" s="20">
        <v>83</v>
      </c>
    </row>
    <row r="30" spans="1:11" ht="14.5" thickBot="1">
      <c r="B30" s="6"/>
      <c r="C30" s="35">
        <v>28893</v>
      </c>
      <c r="D30" s="21">
        <v>3531</v>
      </c>
      <c r="E30" s="22">
        <v>10085</v>
      </c>
      <c r="F30" s="23">
        <f>SUM(F5:F29)</f>
        <v>32731</v>
      </c>
      <c r="G30" s="24">
        <f t="shared" ref="G30:H30" si="0">SUM(G5:G29)</f>
        <v>3575</v>
      </c>
      <c r="H30" s="25">
        <f t="shared" si="0"/>
        <v>10960</v>
      </c>
      <c r="I30" s="26">
        <f>SUM(I5:I29)</f>
        <v>31501</v>
      </c>
      <c r="J30" s="27">
        <f>SUM(J5:J29)</f>
        <v>2510</v>
      </c>
      <c r="K30" s="28">
        <f>SUM(K5:K29)</f>
        <v>9697</v>
      </c>
    </row>
    <row r="31" spans="1:11">
      <c r="D31" s="48">
        <f>D30/C30%</f>
        <v>12.220953172048592</v>
      </c>
      <c r="G31" s="48">
        <f>G30/F30%</f>
        <v>10.922367174849532</v>
      </c>
      <c r="J31" s="48">
        <f>J30/I30%</f>
        <v>7.968001015840767</v>
      </c>
    </row>
    <row r="32" spans="1:11" ht="14.5" thickBot="1"/>
    <row r="33" spans="1:6">
      <c r="A33" s="64" t="s">
        <v>52</v>
      </c>
      <c r="B33" s="65"/>
      <c r="C33" s="65"/>
      <c r="D33" s="65"/>
      <c r="E33" s="65"/>
      <c r="F33" s="66"/>
    </row>
    <row r="34" spans="1:6">
      <c r="A34" s="67">
        <v>45901</v>
      </c>
      <c r="B34" s="68"/>
      <c r="C34" s="67">
        <v>45931</v>
      </c>
      <c r="D34" s="68"/>
      <c r="E34" s="50"/>
      <c r="F34" s="50">
        <v>45962</v>
      </c>
    </row>
    <row r="35" spans="1:6">
      <c r="A35" s="49" t="s">
        <v>50</v>
      </c>
      <c r="B35" s="49" t="s">
        <v>15</v>
      </c>
      <c r="C35" s="49" t="s">
        <v>50</v>
      </c>
      <c r="D35" s="49" t="s">
        <v>15</v>
      </c>
      <c r="E35" s="49" t="s">
        <v>50</v>
      </c>
      <c r="F35" s="49" t="s">
        <v>15</v>
      </c>
    </row>
    <row r="36" spans="1:6">
      <c r="A36" s="51">
        <v>2935</v>
      </c>
      <c r="B36" s="51">
        <v>51</v>
      </c>
      <c r="C36" s="51">
        <v>2500</v>
      </c>
      <c r="D36" s="51">
        <v>47</v>
      </c>
      <c r="E36" s="51">
        <v>2371</v>
      </c>
      <c r="F36" s="51">
        <v>37</v>
      </c>
    </row>
  </sheetData>
  <mergeCells count="7">
    <mergeCell ref="F3:H3"/>
    <mergeCell ref="I3:K3"/>
    <mergeCell ref="C3:E3"/>
    <mergeCell ref="C2:K2"/>
    <mergeCell ref="A33:F33"/>
    <mergeCell ref="A34:B34"/>
    <mergeCell ref="C34:D34"/>
  </mergeCells>
  <phoneticPr fontId="3" type="noConversion"/>
  <pageMargins left="0.7" right="0.7" top="0.75" bottom="0.75" header="0.3" footer="0.3"/>
  <pageSetup paperSize="9" scale="96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Abeydeera</dc:creator>
  <cp:lastModifiedBy>Yang Yang</cp:lastModifiedBy>
  <cp:lastPrinted>2026-01-02T08:00:17Z</cp:lastPrinted>
  <dcterms:created xsi:type="dcterms:W3CDTF">2025-12-08T10:10:09Z</dcterms:created>
  <dcterms:modified xsi:type="dcterms:W3CDTF">2026-01-02T08:00:22Z</dcterms:modified>
</cp:coreProperties>
</file>